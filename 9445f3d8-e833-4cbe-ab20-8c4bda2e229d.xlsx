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ypothèses ROI" sheetId="2" state="visible" r:id="rId2"/>
    <sheet xmlns:r="http://schemas.openxmlformats.org/officeDocument/2006/relationships" name="100" sheetId="3" state="visible" r:id="rId3"/>
    <sheet xmlns:r="http://schemas.openxmlformats.org/officeDocument/2006/relationships" name="1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</row>
    <row r="2">
      <c r="A2" t="inlineStr">
        <is>
          <t>1. Hypothèses générales (appliquées à tous les cas) :</t>
        </is>
      </c>
    </row>
    <row r="5">
      <c r="B5" t="inlineStr">
        <is>
          <t>Coût horaire moyen : 37,50 €/h (comme dans l'exemple du cas 100).</t>
        </is>
      </c>
      <c r="C5" t="n">
        <v>37.5</v>
      </c>
    </row>
    <row r="6">
      <c r="B6" t="inlineStr">
        <is>
          <t>Taux journalier moyen (TJM) QuantaLogic : 1 200 €/jour.</t>
        </is>
      </c>
      <c r="C6" t="n">
        <v>1200</v>
      </c>
    </row>
    <row r="7">
      <c r="B7" t="inlineStr">
        <is>
          <t>Maintenance annuelle : 25% du coût de développement (5 jours pour 20 jours de dev).</t>
        </is>
      </c>
      <c r="C7" t="n">
        <v>0.25</v>
      </c>
    </row>
    <row r="8">
      <c r="B8" t="inlineStr">
        <is>
          <t>Réduction des erreurs : 30% (comme dans le cas 100).</t>
        </is>
      </c>
      <c r="C8" t="n">
        <v>0.3</v>
      </c>
    </row>
    <row r="9">
      <c r="B9" t="inlineStr">
        <is>
          <t>Gains "soft" (satisfaction client, réduction des délais) : 25% du gain temps (estimation conservative).</t>
        </is>
      </c>
      <c r="C9" t="n">
        <v>0.25</v>
      </c>
    </row>
    <row r="11">
      <c r="A11" t="inlineStr">
        <is>
          <t>2. Formules clés :</t>
        </is>
      </c>
    </row>
    <row r="14">
      <c r="B14" t="inlineStr">
        <is>
          <t>Coût annuel actuel = (Temps unitaire en heures) × (Fréquence annuelle) × (Nombre de FTE) × (Coût horaire).</t>
        </is>
      </c>
    </row>
    <row r="15">
      <c r="B15" t="inlineStr">
        <is>
          <t>Gain temps = % temps économisé × Coût annuel actuel.</t>
        </is>
      </c>
    </row>
    <row r="16">
      <c r="B16" t="inlineStr">
        <is>
          <t>Gain qualité = Coût erreurs actuelles × % réduction erreurs.</t>
        </is>
      </c>
    </row>
    <row r="17">
      <c r="B17" t="inlineStr">
        <is>
          <t>ROI Année 1 = (Bénéfices Année 1 - Coûts Année 1) / Coûts Année 1.</t>
        </is>
      </c>
    </row>
    <row r="18">
      <c r="B18" t="inlineStr">
        <is>
          <t>Payback Period = (Coût développement) / (Bénéfices annuels / 12).</t>
        </is>
      </c>
    </row>
    <row r="20">
      <c r="A20" t="inlineStr">
        <is>
          <t>3. Priorisation :</t>
        </is>
      </c>
    </row>
    <row r="23">
      <c r="B23" t="inlineStr">
        <is>
          <t>ROI &gt; 100% et Payback &lt; 12 mois : Priorité 1 (à lancer en urgence).</t>
        </is>
      </c>
    </row>
    <row r="24">
      <c r="B24" t="inlineStr">
        <is>
          <t>ROI entre 50% et 100% : Priorité 2 (à étudier en détail).</t>
        </is>
      </c>
    </row>
    <row r="25">
      <c r="B25" t="inlineStr">
        <is>
          <t>ROI &lt; 50% : Priorité 3 (à reconsidérer ou abandonner).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100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3</v>
      </c>
      <c r="D4" t="inlineStr">
        <is>
          <t>-</t>
        </is>
      </c>
      <c r="E4" t="inlineStr">
        <is>
          <t>Intégré à l'outil de support.</t>
        </is>
      </c>
    </row>
    <row r="5">
      <c r="B5" t="inlineStr">
        <is>
          <t>Complexité (1-3)</t>
        </is>
      </c>
      <c r="C5" t="n">
        <v>2</v>
      </c>
      <c r="D5" t="inlineStr">
        <is>
          <t>-</t>
        </is>
      </c>
      <c r="E5" t="inlineStr">
        <is>
          <t>Salarié + connecteur.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15</v>
      </c>
      <c r="D6" t="inlineStr">
        <is>
          <t>minutes</t>
        </is>
      </c>
      <c r="E6" t="inlineStr">
        <is>
          <t>-</t>
        </is>
      </c>
    </row>
    <row r="7">
      <c r="B7" t="inlineStr">
        <is>
          <t>Fréquence annuelle</t>
        </is>
      </c>
      <c r="C7" t="n">
        <v>2600</v>
      </c>
      <c r="D7" t="inlineStr">
        <is>
          <t>demandes/an</t>
        </is>
      </c>
      <c r="E7" t="inlineStr">
        <is>
          <t>50/semaine × 52 semaines.</t>
        </is>
      </c>
    </row>
    <row r="8">
      <c r="B8" t="inlineStr">
        <is>
          <t>Nombre de FTE</t>
        </is>
      </c>
      <c r="C8" t="n">
        <v>2</v>
      </c>
      <c r="D8" t="inlineStr">
        <is>
          <t>salariés</t>
        </is>
      </c>
      <c r="E8" t="inlineStr">
        <is>
          <t>-</t>
        </is>
      </c>
    </row>
    <row r="9">
      <c r="B9" t="inlineStr">
        <is>
          <t>Coût annuel actuel</t>
        </is>
      </c>
      <c r="C9">
        <f>(C6/60)*C7*C8*'Hypothèses ROI'!$C$4*2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20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0.8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20000</v>
      </c>
      <c r="D17" t="inlineStr">
        <is>
          <t>€/an</t>
        </is>
      </c>
      <c r="E17" t="inlineStr">
        <is>
          <t>Réclamations fournisseurs.</t>
        </is>
      </c>
    </row>
    <row r="18">
      <c r="B18" t="inlineStr">
        <is>
          <t>Gain qualité</t>
        </is>
      </c>
      <c r="C18">
        <f>C16*C17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  <c r="E19" t="inlineStr">
        <is>
          <t>Satisfaction client.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  <c r="F2" t="inlineStr"/>
    </row>
    <row r="3">
      <c r="A3" t="inlineStr">
        <is>
          <t>A. Identification</t>
        </is>
      </c>
      <c r="B3" t="inlineStr">
        <is>
          <t>Référence</t>
        </is>
      </c>
      <c r="C3" t="n">
        <v>101</v>
      </c>
      <c r="D3" t="inlineStr">
        <is>
          <t>-</t>
        </is>
      </c>
      <c r="E3" t="inlineStr">
        <is>
          <t>-</t>
        </is>
      </c>
      <c r="F3" t="inlineStr"/>
    </row>
    <row r="4">
      <c r="A4" t="inlineStr"/>
      <c r="B4" t="inlineStr">
        <is>
          <t>Faisabilité (0-4)</t>
        </is>
      </c>
      <c r="C4" t="n">
        <v>3</v>
      </c>
      <c r="D4" t="inlineStr">
        <is>
          <t>-</t>
        </is>
      </c>
      <c r="E4" t="inlineStr"/>
      <c r="F4" t="inlineStr"/>
    </row>
    <row r="5">
      <c r="A5" t="inlineStr"/>
      <c r="B5" t="inlineStr">
        <is>
          <t>Complexité (1-3)</t>
        </is>
      </c>
      <c r="C5" t="n">
        <v>2</v>
      </c>
      <c r="D5" t="inlineStr">
        <is>
          <t>-</t>
        </is>
      </c>
      <c r="E5" t="inlineStr"/>
      <c r="F5" t="inlineStr"/>
    </row>
    <row r="6">
      <c r="A6" t="inlineStr">
        <is>
          <t>B. Scénario Actuel</t>
        </is>
      </c>
      <c r="B6" t="inlineStr">
        <is>
          <t>Temps unitaire</t>
        </is>
      </c>
      <c r="C6" t="n">
        <v>30</v>
      </c>
      <c r="D6" t="inlineStr">
        <is>
          <t>minutes</t>
        </is>
      </c>
      <c r="E6" t="inlineStr"/>
      <c r="F6" t="inlineStr"/>
    </row>
    <row r="7">
      <c r="A7" t="inlineStr"/>
      <c r="B7" t="inlineStr">
        <is>
          <t>Fréquence annuelle</t>
        </is>
      </c>
      <c r="C7" t="n">
        <v>500</v>
      </c>
      <c r="D7" t="inlineStr">
        <is>
          <t>demandes/an</t>
        </is>
      </c>
      <c r="E7" t="inlineStr"/>
      <c r="F7" t="inlineStr"/>
    </row>
    <row r="8">
      <c r="A8" t="inlineStr"/>
      <c r="B8" t="inlineStr">
        <is>
          <t>Nombre de FTE</t>
        </is>
      </c>
      <c r="C8" t="n">
        <v>1</v>
      </c>
      <c r="D8" t="inlineStr">
        <is>
          <t>salariés</t>
        </is>
      </c>
      <c r="E8" t="inlineStr"/>
      <c r="F8" t="inlineStr"/>
    </row>
    <row r="9">
      <c r="A9" t="inlineStr"/>
      <c r="B9" t="inlineStr">
        <is>
          <t>Coût annuel actuel</t>
        </is>
      </c>
      <c r="C9">
        <f>(C6/60)*C7*C8*'Hypothèses ROI'!$C$4*1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25</v>
      </c>
      <c r="D10" t="inlineStr">
        <is>
          <t>jours</t>
        </is>
      </c>
    </row>
    <row r="11">
      <c r="A11" t="inlineStr"/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A12" t="inlineStr"/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0.7</v>
      </c>
      <c r="D13" t="inlineStr">
        <is>
          <t>-</t>
        </is>
      </c>
    </row>
    <row r="14">
      <c r="A14" t="inlineStr"/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A15" t="inlineStr"/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A16" t="inlineStr"/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  <c r="F16" t="inlineStr"/>
    </row>
    <row r="17">
      <c r="A17" t="inlineStr"/>
      <c r="B17" t="inlineStr">
        <is>
          <t>Coût erreurs actuelles</t>
        </is>
      </c>
      <c r="C17" t="n">
        <v>10000</v>
      </c>
      <c r="D17" t="inlineStr">
        <is>
          <t>€/an</t>
        </is>
      </c>
      <c r="E17" t="inlineStr"/>
      <c r="F17" t="inlineStr"/>
    </row>
    <row r="18">
      <c r="A18" t="inlineStr"/>
      <c r="B18" t="inlineStr">
        <is>
          <t>Gain qualité</t>
        </is>
      </c>
      <c r="C18">
        <f>C16*C17</f>
        <v/>
      </c>
      <c r="D18" t="inlineStr">
        <is>
          <t>€</t>
        </is>
      </c>
      <c r="F18" t="inlineStr"/>
    </row>
    <row r="19">
      <c r="A19" t="inlineStr"/>
      <c r="B19" t="inlineStr">
        <is>
          <t>Autres gains</t>
        </is>
      </c>
      <c r="D19" t="inlineStr">
        <is>
          <t>€</t>
        </is>
      </c>
      <c r="E19" t="inlineStr"/>
      <c r="F19" t="inlineStr"/>
    </row>
    <row r="20">
      <c r="A20" t="inlineStr"/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  <c r="F20" t="inlineStr"/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  <c r="F21" t="inlineStr"/>
    </row>
    <row r="22">
      <c r="A22" t="inlineStr"/>
      <c r="B22" t="inlineStr">
        <is>
          <t>Coûts Année 1</t>
        </is>
      </c>
      <c r="C22">
        <f>C18+C11</f>
        <v/>
      </c>
      <c r="D22" t="inlineStr">
        <is>
          <t>€</t>
        </is>
      </c>
      <c r="F22" t="inlineStr"/>
    </row>
    <row r="23">
      <c r="A23" t="inlineStr"/>
      <c r="B23" t="inlineStr">
        <is>
          <t>Bénéfice Net Année 1</t>
        </is>
      </c>
      <c r="C23">
        <f>C21-C22</f>
        <v/>
      </c>
      <c r="D23" t="inlineStr">
        <is>
          <t>€</t>
        </is>
      </c>
      <c r="F23" t="inlineStr"/>
    </row>
    <row r="24">
      <c r="A24" t="inlineStr"/>
      <c r="B24" t="inlineStr">
        <is>
          <t>ROI Année 1</t>
        </is>
      </c>
      <c r="C24">
        <f>C23/C22</f>
        <v/>
      </c>
      <c r="F24" t="inlineStr"/>
    </row>
    <row r="25"/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2025-12-09T12:28:29Z</dcterms:created>
  <dcterms:modified xmlns:dcterms="http://purl.org/dc/terms/" xmlns:xsi="http://www.w3.org/2001/XMLSchema-instance" xsi:type="dcterms:W3CDTF">2025-12-09T12:29:37Z</dcterms:modified>
</cp:coreProperties>
</file>