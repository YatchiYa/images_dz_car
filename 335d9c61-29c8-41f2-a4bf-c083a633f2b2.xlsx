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pothèses ROI" sheetId="1" state="visible" r:id="rId1"/>
    <sheet xmlns:r="http://schemas.openxmlformats.org/officeDocument/2006/relationships" name="100" sheetId="2" state="visible" r:id="rId2"/>
    <sheet xmlns:r="http://schemas.openxmlformats.org/officeDocument/2006/relationships" name="101" sheetId="3" state="visible" r:id="rId3"/>
    <sheet xmlns:r="http://schemas.openxmlformats.org/officeDocument/2006/relationships" name="102" sheetId="4" state="visible" r:id="rId4"/>
    <sheet xmlns:r="http://schemas.openxmlformats.org/officeDocument/2006/relationships" name="103" sheetId="5" state="visible" r:id="rId5"/>
    <sheet xmlns:r="http://schemas.openxmlformats.org/officeDocument/2006/relationships" name="104" sheetId="6" state="visible" r:id="rId6"/>
    <sheet xmlns:r="http://schemas.openxmlformats.org/officeDocument/2006/relationships" name="105" sheetId="7" state="visible" r:id="rId7"/>
    <sheet xmlns:r="http://schemas.openxmlformats.org/officeDocument/2006/relationships" name="10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</row>
    <row r="2">
      <c r="A2" t="inlineStr">
        <is>
          <t>1. Hypothèses générales (appliquées à tous les cas) :</t>
        </is>
      </c>
    </row>
    <row r="5">
      <c r="B5" t="inlineStr">
        <is>
          <t>Coût horaire moyen : 37,50 €/h (comme dans l'exemple du cas 100).</t>
        </is>
      </c>
      <c r="C5" t="n">
        <v>37.5</v>
      </c>
    </row>
    <row r="6">
      <c r="B6" t="inlineStr">
        <is>
          <t>Taux journalier moyen (TJM) QuantaLogic : 1 200 €/jour.</t>
        </is>
      </c>
      <c r="C6" t="n">
        <v>1200</v>
      </c>
    </row>
    <row r="7">
      <c r="B7" t="inlineStr">
        <is>
          <t>Maintenance annuelle : 25% du coût de développement (5 jours pour 20 jours de dev).</t>
        </is>
      </c>
      <c r="C7" t="n">
        <v>0.25</v>
      </c>
    </row>
    <row r="8">
      <c r="B8" t="inlineStr">
        <is>
          <t>Réduction des erreurs : 30% (comme dans le cas 100).</t>
        </is>
      </c>
      <c r="C8" t="n">
        <v>0.3</v>
      </c>
    </row>
    <row r="9">
      <c r="B9" t="inlineStr">
        <is>
          <t>Gains "soft" (satisfaction client, réduction des délais) : 25% du gain temps (estimation conservative).</t>
        </is>
      </c>
      <c r="C9" t="n">
        <v>0.25</v>
      </c>
    </row>
    <row r="11">
      <c r="A11" t="inlineStr">
        <is>
          <t>2. Formules clés :</t>
        </is>
      </c>
    </row>
    <row r="14">
      <c r="B14" t="inlineStr">
        <is>
          <t>Coût annuel actuel = (Temps unitaire en heures) × (Fréquence annuelle) × (Nombre de FTE) × (Coût horaire).</t>
        </is>
      </c>
    </row>
    <row r="15">
      <c r="B15" t="inlineStr">
        <is>
          <t>Gain temps = % temps économisé × Coût annuel actuel.</t>
        </is>
      </c>
    </row>
    <row r="16">
      <c r="B16" t="inlineStr">
        <is>
          <t>Gain qualité = Coût erreurs actuelles × % réduction erreurs.</t>
        </is>
      </c>
    </row>
    <row r="17">
      <c r="B17" t="inlineStr">
        <is>
          <t>ROI Année 1 = (Bénéfices Année 1 - Coûts Année 1) / Coûts Année 1.</t>
        </is>
      </c>
    </row>
    <row r="18">
      <c r="B18" t="inlineStr">
        <is>
          <t>Payback Period = (Coût développement) / (Bénéfices annuels / 12).</t>
        </is>
      </c>
    </row>
    <row r="20">
      <c r="A20" t="inlineStr">
        <is>
          <t>3. Priorisation :</t>
        </is>
      </c>
    </row>
    <row r="23">
      <c r="B23" t="inlineStr">
        <is>
          <t>ROI &gt; 100% et Payback &lt; 12 mois : Priorité 1 (à lancer en urgence).</t>
        </is>
      </c>
    </row>
    <row r="24">
      <c r="B24" t="inlineStr">
        <is>
          <t>ROI entre 50% et 100% : Priorité 2 (à étudier en détail).</t>
        </is>
      </c>
    </row>
    <row r="25">
      <c r="B25" t="inlineStr">
        <is>
          <t>ROI &lt; 50% : Priorité 3 (à reconsidérer ou abandonner).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100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  <c r="E4" t="inlineStr">
        <is>
          <t>Intégré à l'outil de support.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  <c r="E5" t="inlineStr">
        <is>
          <t>Salarié + connecteur.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15</v>
      </c>
      <c r="D6" t="inlineStr">
        <is>
          <t>minutes</t>
        </is>
      </c>
      <c r="E6" t="inlineStr">
        <is>
          <t>-</t>
        </is>
      </c>
    </row>
    <row r="7">
      <c r="B7" t="inlineStr">
        <is>
          <t>Fréquence annuelle</t>
        </is>
      </c>
      <c r="C7" t="n">
        <v>2600</v>
      </c>
      <c r="D7" t="inlineStr">
        <is>
          <t>demandes/an</t>
        </is>
      </c>
      <c r="E7" t="inlineStr">
        <is>
          <t>50/semaine × 52 semaines.</t>
        </is>
      </c>
    </row>
    <row r="8">
      <c r="B8" t="inlineStr">
        <is>
          <t>Nombre de FTE</t>
        </is>
      </c>
      <c r="C8" t="n">
        <v>2</v>
      </c>
      <c r="D8" t="inlineStr">
        <is>
          <t>salariés</t>
        </is>
      </c>
      <c r="E8" t="inlineStr">
        <is>
          <t>-</t>
        </is>
      </c>
    </row>
    <row r="9">
      <c r="B9" t="inlineStr">
        <is>
          <t>Coût annuel actuel</t>
        </is>
      </c>
      <c r="C9">
        <f>(C6/60)*C7*C8*'Hypothèses ROI'!$C$4*2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20000</v>
      </c>
      <c r="D17" t="inlineStr">
        <is>
          <t>€/an</t>
        </is>
      </c>
      <c r="E17" t="inlineStr">
        <is>
          <t>Réclamations fournisseurs.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  <c r="E19" t="inlineStr">
        <is>
          <t>Satisfaction client.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101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30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10000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102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60</v>
      </c>
      <c r="D6" t="inlineStr">
        <is>
          <t>minutes</t>
        </is>
      </c>
    </row>
    <row r="7">
      <c r="B7" t="inlineStr">
        <is>
          <t>Fréquence annuelle</t>
        </is>
      </c>
      <c r="C7" t="n">
        <v>200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30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0.6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103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45</v>
      </c>
      <c r="D6" t="inlineStr">
        <is>
          <t>minutes</t>
        </is>
      </c>
    </row>
    <row r="7">
      <c r="B7" t="inlineStr">
        <is>
          <t>Fréquence annuelle</t>
        </is>
      </c>
      <c r="C7" t="n">
        <v>300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22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0.75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12000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104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120</v>
      </c>
      <c r="D6" t="inlineStr">
        <is>
          <t>minutes</t>
        </is>
      </c>
    </row>
    <row r="7">
      <c r="B7" t="inlineStr">
        <is>
          <t>Fréquence annuelle</t>
        </is>
      </c>
      <c r="C7" t="n">
        <v>100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15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105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2</v>
      </c>
      <c r="D4" t="inlineStr">
        <is>
          <t>-</t>
        </is>
      </c>
    </row>
    <row r="5">
      <c r="B5" t="inlineStr">
        <is>
          <t>Complexité (1-3)</t>
        </is>
      </c>
      <c r="C5" t="n">
        <v>3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180</v>
      </c>
      <c r="D6" t="inlineStr">
        <is>
          <t>minutes</t>
        </is>
      </c>
    </row>
    <row r="7">
      <c r="B7" t="inlineStr">
        <is>
          <t>Fréquence annuelle</t>
        </is>
      </c>
      <c r="C7" t="n">
        <v>50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40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0.7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25000</v>
      </c>
      <c r="D17" t="inlineStr">
        <is>
          <t>€/an</t>
        </is>
      </c>
    </row>
    <row r="18">
      <c r="B18" t="inlineStr">
        <is>
          <t>Gain qualité</t>
        </is>
      </c>
      <c r="C18">
        <f>C16*C17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Column2</t>
        </is>
      </c>
      <c r="C1" s="1" t="inlineStr">
        <is>
          <t>Column3</t>
        </is>
      </c>
      <c r="D1" s="1" t="inlineStr">
        <is>
          <t>Column4</t>
        </is>
      </c>
      <c r="E1" s="1" t="inlineStr">
        <is>
          <t>Column5</t>
        </is>
      </c>
      <c r="F1" s="1" t="inlineStr">
        <is>
          <t>Column6</t>
        </is>
      </c>
    </row>
    <row r="2">
      <c r="A2" t="inlineStr">
        <is>
          <t>Catégorie</t>
        </is>
      </c>
      <c r="B2" t="inlineStr">
        <is>
          <t>Paramètre</t>
        </is>
      </c>
      <c r="C2" t="inlineStr">
        <is>
          <t>Valeur</t>
        </is>
      </c>
      <c r="D2" t="inlineStr">
        <is>
          <t>Unité</t>
        </is>
      </c>
      <c r="E2" t="inlineStr">
        <is>
          <t>Notes</t>
        </is>
      </c>
    </row>
    <row r="3">
      <c r="A3" t="inlineStr">
        <is>
          <t>A. Identification</t>
        </is>
      </c>
      <c r="B3" t="inlineStr">
        <is>
          <t>Référence</t>
        </is>
      </c>
      <c r="C3" t="n">
        <v>106</v>
      </c>
      <c r="D3" t="inlineStr">
        <is>
          <t>-</t>
        </is>
      </c>
      <c r="E3" t="inlineStr">
        <is>
          <t>-</t>
        </is>
      </c>
    </row>
    <row r="4">
      <c r="B4" t="inlineStr">
        <is>
          <t>Faisabilité (0-4)</t>
        </is>
      </c>
      <c r="C4" t="n">
        <v>3</v>
      </c>
      <c r="D4" t="inlineStr">
        <is>
          <t>-</t>
        </is>
      </c>
    </row>
    <row r="5">
      <c r="B5" t="inlineStr">
        <is>
          <t>Complexité (1-3)</t>
        </is>
      </c>
      <c r="C5" t="n">
        <v>2</v>
      </c>
      <c r="D5" t="inlineStr">
        <is>
          <t>-</t>
        </is>
      </c>
    </row>
    <row r="6">
      <c r="A6" t="inlineStr">
        <is>
          <t>B. Scénario Actuel</t>
        </is>
      </c>
      <c r="B6" t="inlineStr">
        <is>
          <t>Temps unitaire</t>
        </is>
      </c>
      <c r="C6" t="n">
        <v>90</v>
      </c>
      <c r="D6" t="inlineStr">
        <is>
          <t>minutes</t>
        </is>
      </c>
    </row>
    <row r="7">
      <c r="B7" t="inlineStr">
        <is>
          <t>Fréquence annuelle</t>
        </is>
      </c>
      <c r="C7" t="n">
        <v>150</v>
      </c>
      <c r="D7" t="inlineStr">
        <is>
          <t>demandes/an</t>
        </is>
      </c>
    </row>
    <row r="8">
      <c r="B8" t="inlineStr">
        <is>
          <t>Nombre de FTE</t>
        </is>
      </c>
      <c r="C8" t="n">
        <v>1</v>
      </c>
      <c r="D8" t="inlineStr">
        <is>
          <t>salariés</t>
        </is>
      </c>
    </row>
    <row r="9">
      <c r="B9" t="inlineStr">
        <is>
          <t>Coût annuel actuel</t>
        </is>
      </c>
      <c r="C9">
        <f>(C6/60)*C7*C8*'Hypothèses ROI'!$C$4*1</f>
        <v/>
      </c>
      <c r="D9" t="inlineStr">
        <is>
          <t>€</t>
        </is>
      </c>
    </row>
    <row r="10">
      <c r="A10" t="inlineStr">
        <is>
          <t>C. Développement IA</t>
        </is>
      </c>
      <c r="B10" t="inlineStr">
        <is>
          <t>Jours de développement</t>
        </is>
      </c>
      <c r="C10" t="n">
        <v>20</v>
      </c>
      <c r="D10" t="inlineStr">
        <is>
          <t>jours</t>
        </is>
      </c>
    </row>
    <row r="11">
      <c r="B11" t="inlineStr">
        <is>
          <t>Coût développement</t>
        </is>
      </c>
      <c r="C11">
        <f>C10*'Hypothèses ROI'!$C$5</f>
        <v/>
      </c>
      <c r="D11" t="inlineStr">
        <is>
          <t>€</t>
        </is>
      </c>
    </row>
    <row r="12">
      <c r="B12" t="inlineStr">
        <is>
          <t>Coût maintenance annuelle</t>
        </is>
      </c>
      <c r="C12">
        <f>C11*'Hypothèses ROI'!$C$6</f>
        <v/>
      </c>
      <c r="D12" t="inlineStr">
        <is>
          <t>€</t>
        </is>
      </c>
    </row>
    <row r="13">
      <c r="A13" t="inlineStr">
        <is>
          <t>D. Gains IA</t>
        </is>
      </c>
      <c r="B13" t="inlineStr">
        <is>
          <t>% temps économisé</t>
        </is>
      </c>
      <c r="C13" t="n">
        <v>0.8</v>
      </c>
      <c r="D13" t="inlineStr">
        <is>
          <t>-</t>
        </is>
      </c>
    </row>
    <row r="14">
      <c r="B14" t="inlineStr">
        <is>
          <t>Temps gagné annuel</t>
        </is>
      </c>
      <c r="C14">
        <f>(C13*C6/60)*C7</f>
        <v/>
      </c>
      <c r="D14" t="inlineStr">
        <is>
          <t>heures</t>
        </is>
      </c>
    </row>
    <row r="15">
      <c r="B15" t="inlineStr">
        <is>
          <t>Valeur temps gagné</t>
        </is>
      </c>
      <c r="C15">
        <f>C14*'Hypothèses ROI'!$C$4</f>
        <v/>
      </c>
      <c r="D15" t="inlineStr">
        <is>
          <t>€</t>
        </is>
      </c>
    </row>
    <row r="16">
      <c r="B16" t="inlineStr">
        <is>
          <t>% réduction erreurs</t>
        </is>
      </c>
      <c r="C16">
        <f>'Hypothèses ROI'!$C$7</f>
        <v/>
      </c>
      <c r="D16" t="inlineStr">
        <is>
          <t>-</t>
        </is>
      </c>
      <c r="E16" t="inlineStr">
        <is>
          <t>-</t>
        </is>
      </c>
    </row>
    <row r="17">
      <c r="B17" t="inlineStr">
        <is>
          <t>Coût erreurs actuelles</t>
        </is>
      </c>
      <c r="C17" t="n">
        <v>8000</v>
      </c>
      <c r="D17" t="inlineStr">
        <is>
          <t>€/an</t>
        </is>
      </c>
    </row>
    <row r="18">
      <c r="B18" t="inlineStr">
        <is>
          <t>Gain qualité</t>
        </is>
      </c>
      <c r="C18">
        <f>C16*C7</f>
        <v/>
      </c>
      <c r="D18" t="inlineStr">
        <is>
          <t>€</t>
        </is>
      </c>
    </row>
    <row r="19">
      <c r="B19" t="inlineStr">
        <is>
          <t>Autres gains</t>
        </is>
      </c>
      <c r="D19" t="inlineStr">
        <is>
          <t>€</t>
        </is>
      </c>
    </row>
    <row r="20">
      <c r="B20" t="inlineStr">
        <is>
          <t>Gain total annuel</t>
        </is>
      </c>
      <c r="C20">
        <f>(C19+C18+C15)*C8</f>
        <v/>
      </c>
      <c r="D20" t="inlineStr">
        <is>
          <t>€</t>
        </is>
      </c>
      <c r="E20" t="inlineStr">
        <is>
          <t>x nombre de FTE</t>
        </is>
      </c>
    </row>
    <row r="21">
      <c r="A21" t="inlineStr">
        <is>
          <t>E. ROI</t>
        </is>
      </c>
      <c r="B21" t="inlineStr">
        <is>
          <t>Bénéfices Année 1</t>
        </is>
      </c>
      <c r="C21">
        <f>C20</f>
        <v/>
      </c>
      <c r="D21" t="inlineStr">
        <is>
          <t>€</t>
        </is>
      </c>
    </row>
    <row r="22">
      <c r="B22" t="inlineStr">
        <is>
          <t>Coûts Année 1</t>
        </is>
      </c>
      <c r="C22">
        <f>C18+C11</f>
        <v/>
      </c>
      <c r="D22" t="inlineStr">
        <is>
          <t>€</t>
        </is>
      </c>
    </row>
    <row r="23">
      <c r="B23" t="inlineStr">
        <is>
          <t>Bénéfice Net Année 1</t>
        </is>
      </c>
      <c r="C23">
        <f>C21-C22</f>
        <v/>
      </c>
      <c r="D23" t="inlineStr">
        <is>
          <t>€</t>
        </is>
      </c>
    </row>
    <row r="24">
      <c r="B24" t="inlineStr">
        <is>
          <t>ROI Année 1</t>
        </is>
      </c>
      <c r="C24">
        <f>C23/C22</f>
        <v/>
      </c>
    </row>
    <row r="26">
      <c r="B26" t="inlineStr">
        <is>
          <t>Bénéfices Années (1+2)</t>
        </is>
      </c>
      <c r="C26">
        <f>C21*2</f>
        <v/>
      </c>
      <c r="D26" t="inlineStr">
        <is>
          <t>€</t>
        </is>
      </c>
    </row>
    <row r="27">
      <c r="B27" t="inlineStr">
        <is>
          <t>Coûts Année (1+2)</t>
        </is>
      </c>
      <c r="C27">
        <f>C22+C12</f>
        <v/>
      </c>
      <c r="D27" t="inlineStr">
        <is>
          <t>€</t>
        </is>
      </c>
    </row>
    <row r="28">
      <c r="B28" t="inlineStr">
        <is>
          <t>Bénéfice Net Année (1+2)</t>
        </is>
      </c>
      <c r="C28">
        <f>C26-C27</f>
        <v/>
      </c>
      <c r="D28" t="inlineStr">
        <is>
          <t>€</t>
        </is>
      </c>
    </row>
    <row r="29">
      <c r="B29" t="inlineStr">
        <is>
          <t>ROI Année (1+2)</t>
        </is>
      </c>
      <c r="C29">
        <f>C28/C27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2025-12-09T12:28:29Z</dcterms:created>
  <dcterms:modified xmlns:dcterms="http://purl.org/dc/terms/" xmlns:xsi="http://www.w3.org/2001/XMLSchema-instance" xsi:type="dcterms:W3CDTF">2025-12-09T12:30:37Z</dcterms:modified>
</cp:coreProperties>
</file>