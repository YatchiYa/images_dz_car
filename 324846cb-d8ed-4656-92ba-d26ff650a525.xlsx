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ynthèse Globale" sheetId="2" state="visible" r:id="rId2"/>
    <sheet xmlns:r="http://schemas.openxmlformats.org/officeDocument/2006/relationships" name="Hypothè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t="inlineStr">
        <is>
          <t>Dashboard - Synthèse Visuelle du ROI</t>
        </is>
      </c>
    </row>
    <row r="2"/>
    <row r="3">
      <c r="A3" t="inlineStr">
        <is>
          <t>Gains Potentiels par Fonction (Bénéfice Net Année 1)</t>
        </is>
      </c>
    </row>
    <row r="4">
      <c r="A4" t="inlineStr">
        <is>
          <t>Fonction</t>
        </is>
      </c>
      <c r="B4" t="inlineStr">
        <is>
          <t>Bénéfice Net Total A1</t>
        </is>
      </c>
    </row>
    <row r="5">
      <c r="A5" t="inlineStr">
        <is>
          <t>ACHATS</t>
        </is>
      </c>
      <c r="B5">
        <f>SUMIF('Synthèse Globale'!B:B, "ACHATS", 'Synthèse Globale'!D:D)</f>
        <v/>
      </c>
    </row>
    <row r="6">
      <c r="A6" t="inlineStr">
        <is>
          <t>FINANCE</t>
        </is>
      </c>
      <c r="B6">
        <f>SUMIF('Synthèse Globale'!B:B, "FINANCE", 'Synthèse Globale'!D:D)</f>
        <v/>
      </c>
    </row>
    <row r="7">
      <c r="A7" t="inlineStr">
        <is>
          <t>RH</t>
        </is>
      </c>
      <c r="B7">
        <f>SUMIF('Synthèse Globale'!B:B, "RH", 'Synthèse Globale'!D:D)</f>
        <v/>
      </c>
    </row>
    <row r="8">
      <c r="A8" t="inlineStr">
        <is>
          <t>DSI</t>
        </is>
      </c>
      <c r="B8">
        <f>SUMIF('Synthèse Globale'!B:B, "DSI", 'Synthèse Globale'!D:D)</f>
        <v/>
      </c>
    </row>
    <row r="9">
      <c r="A9" t="inlineStr">
        <is>
          <t>MARKETING</t>
        </is>
      </c>
      <c r="B9">
        <f>SUMIF('Synthèse Globale'!B:B, "MARKETING", 'Synthèse Globale'!D:D)</f>
        <v/>
      </c>
    </row>
    <row r="10">
      <c r="A10" t="inlineStr">
        <is>
          <t>VENTE</t>
        </is>
      </c>
      <c r="B10">
        <f>SUMIF('Synthèse Globale'!B:B, "VENTE", 'Synthèse Globale'!D:D)</f>
        <v/>
      </c>
    </row>
    <row r="11">
      <c r="A11" t="inlineStr">
        <is>
          <t>PRODUCTION</t>
        </is>
      </c>
      <c r="B11">
        <f>SUMIF('Synthèse Globale'!B:B, "PRODUCTION", 'Synthèse Globale'!D:D)</f>
        <v/>
      </c>
    </row>
    <row r="12">
      <c r="A12" t="inlineStr">
        <is>
          <t>SUPPLY</t>
        </is>
      </c>
      <c r="B12">
        <f>SUMIF('Synthèse Globale'!B:B, "SUPPLY", 'Synthèse Globale'!D:D)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3" customWidth="1" min="3" max="3"/>
    <col width="21" customWidth="1" min="4" max="4"/>
    <col width="12" customWidth="1" min="5" max="5"/>
    <col width="24" customWidth="1" min="6" max="6"/>
    <col width="15" customWidth="1" min="7" max="7"/>
    <col width="19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Fonction</t>
        </is>
      </c>
      <c r="C1" s="1" t="inlineStr">
        <is>
          <t>Cas d'Usage</t>
        </is>
      </c>
      <c r="D1" s="1" t="inlineStr">
        <is>
          <t>Bénéfice Net A1 (€)</t>
        </is>
      </c>
      <c r="E1" s="1" t="inlineStr">
        <is>
          <t>ROI A1 (%)</t>
        </is>
      </c>
      <c r="F1" s="1" t="inlineStr">
        <is>
          <t>Bénéfice Net A1+A2 (€)</t>
        </is>
      </c>
      <c r="G1" s="1" t="inlineStr">
        <is>
          <t>ROI A1+A2 (%)</t>
        </is>
      </c>
      <c r="H1" s="1" t="inlineStr">
        <is>
          <t>Faisabilité (0-4)</t>
        </is>
      </c>
      <c r="I1" s="1" t="inlineStr">
        <is>
          <t>Complexité (1-3)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9" customWidth="1" min="3" max="3"/>
    <col width="50" customWidth="1" min="4" max="4"/>
  </cols>
  <sheetData>
    <row r="1">
      <c r="A1" s="1" t="inlineStr">
        <is>
          <t>Paramètre</t>
        </is>
      </c>
      <c r="B1" s="1" t="inlineStr">
        <is>
          <t>Valeur</t>
        </is>
      </c>
      <c r="C1" s="1" t="inlineStr">
        <is>
          <t>Unité</t>
        </is>
      </c>
      <c r="D1" s="1" t="inlineStr">
        <is>
          <t>Description</t>
        </is>
      </c>
    </row>
    <row r="2">
      <c r="A2" t="inlineStr">
        <is>
          <t>Taux Horaire Moyen (FTE)</t>
        </is>
      </c>
      <c r="B2" t="n">
        <v>75</v>
      </c>
      <c r="C2" t="inlineStr">
        <is>
          <t>€/heure</t>
        </is>
      </c>
      <c r="D2" t="inlineStr">
        <is>
          <t>Coût moyen horaire d'un employé équivalent temps plein.</t>
        </is>
      </c>
    </row>
    <row r="3">
      <c r="A3" t="inlineStr">
        <is>
          <t>Coût TJM (Développement)</t>
        </is>
      </c>
      <c r="B3" t="n">
        <v>1200</v>
      </c>
      <c r="C3" t="inlineStr">
        <is>
          <t>€/jour</t>
        </is>
      </c>
      <c r="D3" t="inlineStr">
        <is>
          <t>Taux journalier moyen pour le développement de la solution 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2025-12-09T12:51:43Z</dcterms:created>
  <dcterms:modified xmlns:dcterms="http://purl.org/dc/terms/" xmlns:xsi="http://www.w3.org/2001/XMLSchema-instance" xsi:type="dcterms:W3CDTF">2025-12-09T12:51:43Z</dcterms:modified>
</cp:coreProperties>
</file>